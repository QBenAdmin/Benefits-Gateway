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lalvar/Library/CloudStorage/OneDrive-Personal/Replit/For Brokers/Benefits Enrollment Portal/"/>
    </mc:Choice>
  </mc:AlternateContent>
  <xr:revisionPtr revIDLastSave="0" documentId="8_{40563896-560D-D643-AAE6-F1F55E0001C0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Employee Census" sheetId="1" r:id="rId1"/>
  </sheets>
  <definedNames>
    <definedName name="_xlnm._FilterDatabase" localSheetId="0" hidden="1">'Employee Census'!$A$4:$U$4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<sst xmlns="http://schemas.openxmlformats.org/spreadsheetml/2006/main" count="309" uniqueCount="187">
  <si>
    <t>Employee ID</t>
  </si>
  <si>
    <t>Last Name</t>
  </si>
  <si>
    <t>First Name</t>
  </si>
  <si>
    <t>Email Address</t>
  </si>
  <si>
    <t>City</t>
  </si>
  <si>
    <t>State</t>
  </si>
  <si>
    <t>Zip Code</t>
  </si>
  <si>
    <t>County</t>
  </si>
  <si>
    <t>Date of Birth</t>
  </si>
  <si>
    <t>Benefit Eligibility Status</t>
  </si>
  <si>
    <t>Annual Salary</t>
  </si>
  <si>
    <t>Per-Period Salary (26 PP)</t>
  </si>
  <si>
    <t>Dependent 1 Name</t>
  </si>
  <si>
    <t>Dependent 1 DOB</t>
  </si>
  <si>
    <t>Dependent 1 Relationship</t>
  </si>
  <si>
    <t>Dependent 2 Name</t>
  </si>
  <si>
    <t>Dependent 2 DOB</t>
  </si>
  <si>
    <t>Dependent 2 Relationship</t>
  </si>
  <si>
    <t>Dependent 3 Name</t>
  </si>
  <si>
    <t>Dependent 3 DOB</t>
  </si>
  <si>
    <t>Dependent 3 Relationship</t>
  </si>
  <si>
    <t>EMP8309</t>
  </si>
  <si>
    <t>Okafor</t>
  </si>
  <si>
    <t>Wren</t>
  </si>
  <si>
    <t>wren.okafor@betacorp.com</t>
  </si>
  <si>
    <t>Burbank</t>
  </si>
  <si>
    <t>CA</t>
  </si>
  <si>
    <t>91501</t>
  </si>
  <si>
    <t>Los Angeles</t>
  </si>
  <si>
    <t>04/05/1976</t>
  </si>
  <si>
    <t>20-29 Hours (Part-Time)</t>
  </si>
  <si>
    <t>Isla Okafor</t>
  </si>
  <si>
    <t>10/16/2007</t>
  </si>
  <si>
    <t>Child</t>
  </si>
  <si>
    <t>Miles Okafor</t>
  </si>
  <si>
    <t>12/20/2018</t>
  </si>
  <si>
    <t>EMP9820</t>
  </si>
  <si>
    <t>Petrov</t>
  </si>
  <si>
    <t>Sloane</t>
  </si>
  <si>
    <t>sloane.petrov@betacorp.com</t>
  </si>
  <si>
    <t>El Segundo</t>
  </si>
  <si>
    <t>90245</t>
  </si>
  <si>
    <t>03/15/1975</t>
  </si>
  <si>
    <t>EMP9331</t>
  </si>
  <si>
    <t>Delgado</t>
  </si>
  <si>
    <t>Emery</t>
  </si>
  <si>
    <t>emery.delgado@betacorp.com</t>
  </si>
  <si>
    <t>Torrance</t>
  </si>
  <si>
    <t>90501</t>
  </si>
  <si>
    <t>01/09/1987</t>
  </si>
  <si>
    <t>EMP9377</t>
  </si>
  <si>
    <t>Yamamoto</t>
  </si>
  <si>
    <t>emery.yamamoto@betacorp.com</t>
  </si>
  <si>
    <t>Glendale</t>
  </si>
  <si>
    <t>91201</t>
  </si>
  <si>
    <t>08/02/2000</t>
  </si>
  <si>
    <t>30+ Hours (Full-Time)</t>
  </si>
  <si>
    <t>Luna Yamamoto</t>
  </si>
  <si>
    <t>10/06/2019</t>
  </si>
  <si>
    <t>Isla Yamamoto</t>
  </si>
  <si>
    <t>01/04/2010</t>
  </si>
  <si>
    <t>Aria Yamamoto</t>
  </si>
  <si>
    <t>08/22/2010</t>
  </si>
  <si>
    <t>EMP8432</t>
  </si>
  <si>
    <t>Osei</t>
  </si>
  <si>
    <t>emery.osei@betacorp.com</t>
  </si>
  <si>
    <t>Pasadena</t>
  </si>
  <si>
    <t>91101</t>
  </si>
  <si>
    <t>05/20/1971</t>
  </si>
  <si>
    <t>EMP8320</t>
  </si>
  <si>
    <t>Kim</t>
  </si>
  <si>
    <t>sloane.kim@betacorp.com</t>
  </si>
  <si>
    <t>05/18/1990</t>
  </si>
  <si>
    <t>Kai Kim</t>
  </si>
  <si>
    <t>03/24/2006</t>
  </si>
  <si>
    <t>EMP9912</t>
  </si>
  <si>
    <t>Haddad</t>
  </si>
  <si>
    <t>Kendall</t>
  </si>
  <si>
    <t>kendall.haddad@betacorp.com</t>
  </si>
  <si>
    <t>02/04/1969</t>
  </si>
  <si>
    <t>Luna Haddad</t>
  </si>
  <si>
    <t>09/11/1978</t>
  </si>
  <si>
    <t>Domestic Partner</t>
  </si>
  <si>
    <t>Kai Haddad</t>
  </si>
  <si>
    <t>05/04/2012</t>
  </si>
  <si>
    <t>Leo Haddad</t>
  </si>
  <si>
    <t>11/03/2010</t>
  </si>
  <si>
    <t>EMP9106</t>
  </si>
  <si>
    <t>Nguyen</t>
  </si>
  <si>
    <t>Tatum</t>
  </si>
  <si>
    <t>tatum.nguyen@betacorp.com</t>
  </si>
  <si>
    <t>Santa Monica</t>
  </si>
  <si>
    <t>90401</t>
  </si>
  <si>
    <t>04/13/1983</t>
  </si>
  <si>
    <t>Isla Nguyen</t>
  </si>
  <si>
    <t>03/02/1970</t>
  </si>
  <si>
    <t>EMP8055</t>
  </si>
  <si>
    <t>wren.yamamoto@betacorp.com</t>
  </si>
  <si>
    <t>11/08/1981</t>
  </si>
  <si>
    <t>EMP7571</t>
  </si>
  <si>
    <t>Kowalski</t>
  </si>
  <si>
    <t>sloane.kowalski@betacorp.com</t>
  </si>
  <si>
    <t>08/25/1980</t>
  </si>
  <si>
    <t>&lt;20 Hours (Ineligible)</t>
  </si>
  <si>
    <t>Finn Kowalski</t>
  </si>
  <si>
    <t>05/22/1997</t>
  </si>
  <si>
    <t>EMP7626</t>
  </si>
  <si>
    <t>Mbeki</t>
  </si>
  <si>
    <t>Brecken</t>
  </si>
  <si>
    <t>brecken.mbeki@betacorp.com</t>
  </si>
  <si>
    <t>07/10/1978</t>
  </si>
  <si>
    <t>EMP9950</t>
  </si>
  <si>
    <t>Vesper</t>
  </si>
  <si>
    <t>vesper.yamamoto@betacorp.com</t>
  </si>
  <si>
    <t>06/07/1986</t>
  </si>
  <si>
    <t>11/14/1981</t>
  </si>
  <si>
    <t>Spouse</t>
  </si>
  <si>
    <t>Miles Yamamoto</t>
  </si>
  <si>
    <t>06/22/2018</t>
  </si>
  <si>
    <t>EMP8275</t>
  </si>
  <si>
    <t>Rivera</t>
  </si>
  <si>
    <t>Blake</t>
  </si>
  <si>
    <t>blake.rivera@betacorp.com</t>
  </si>
  <si>
    <t>09/10/1962</t>
  </si>
  <si>
    <t>Kai Rivera</t>
  </si>
  <si>
    <t>05/24/2011</t>
  </si>
  <si>
    <t>Nora Rivera</t>
  </si>
  <si>
    <t>09/17/2019</t>
  </si>
  <si>
    <t>River Rivera</t>
  </si>
  <si>
    <t>04/24/2014</t>
  </si>
  <si>
    <t>EMP5168</t>
  </si>
  <si>
    <t>Ferreira</t>
  </si>
  <si>
    <t>Rowan</t>
  </si>
  <si>
    <t>rowan.ferreira@betacorp.com</t>
  </si>
  <si>
    <t>01/02/1999</t>
  </si>
  <si>
    <t>River Ferreira</t>
  </si>
  <si>
    <t>05/07/2023</t>
  </si>
  <si>
    <t>Finn Ferreira</t>
  </si>
  <si>
    <t>07/26/2017</t>
  </si>
  <si>
    <t>Luna Ferreira</t>
  </si>
  <si>
    <t>08/11/2013</t>
  </si>
  <si>
    <t>EMP6052</t>
  </si>
  <si>
    <t>kendall.yamamoto@betacorp.com</t>
  </si>
  <si>
    <t>09/23/1988</t>
  </si>
  <si>
    <t>EMP8794</t>
  </si>
  <si>
    <t>Hassan</t>
  </si>
  <si>
    <t>Indigo</t>
  </si>
  <si>
    <t>indigo.hassan@betacorp.com</t>
  </si>
  <si>
    <t>10/21/1992</t>
  </si>
  <si>
    <t>Isla Hassan</t>
  </si>
  <si>
    <t>08/17/1980</t>
  </si>
  <si>
    <t>Aria Hassan</t>
  </si>
  <si>
    <t>06/26/2008</t>
  </si>
  <si>
    <t>EMP9047</t>
  </si>
  <si>
    <t>Dubois</t>
  </si>
  <si>
    <t>emery.dubois@betacorp.com</t>
  </si>
  <si>
    <t>11/18/1998</t>
  </si>
  <si>
    <t>Zoe Dubois</t>
  </si>
  <si>
    <t>03/19/1975</t>
  </si>
  <si>
    <t>Aria Dubois</t>
  </si>
  <si>
    <t>01/02/2017</t>
  </si>
  <si>
    <t>EMP7804</t>
  </si>
  <si>
    <t>Shea</t>
  </si>
  <si>
    <t>shea.kowalski@betacorp.com</t>
  </si>
  <si>
    <t>Long Beach</t>
  </si>
  <si>
    <t>90801</t>
  </si>
  <si>
    <t>08/02/1972</t>
  </si>
  <si>
    <t>EMP6544</t>
  </si>
  <si>
    <t>rowan.delgado@betacorp.com</t>
  </si>
  <si>
    <t>05/22/1979</t>
  </si>
  <si>
    <t>Luna Delgado</t>
  </si>
  <si>
    <t>11/27/2016</t>
  </si>
  <si>
    <t>Isla Delgado</t>
  </si>
  <si>
    <t>12/22/2007</t>
  </si>
  <si>
    <t>Finn Delgado</t>
  </si>
  <si>
    <t>03/05/2009</t>
  </si>
  <si>
    <t>EMP9467</t>
  </si>
  <si>
    <t>emery.kim@betacorp.com</t>
  </si>
  <si>
    <t>06/28/1972</t>
  </si>
  <si>
    <t>Luna Kim</t>
  </si>
  <si>
    <t>01/11/2015</t>
  </si>
  <si>
    <t>Nora Kim</t>
  </si>
  <si>
    <t>05/06/2011</t>
  </si>
  <si>
    <t>BetaCorp</t>
  </si>
  <si>
    <t>Employer</t>
  </si>
  <si>
    <t>Situs Zip Code</t>
  </si>
  <si>
    <t>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</si>
</sst>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pane ySplit="4" topLeftCell="A5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4" customWidth="1"/>
    <col min="4" max="4" width="30" customWidth="1"/>
    <col min="5" max="5" width="16" customWidth="1"/>
    <col min="6" max="6" width="7" customWidth="1"/>
    <col min="7" max="7" width="10" customWidth="1"/>
    <col min="8" max="8" width="14" customWidth="1"/>
    <col min="9" max="9" width="12" customWidth="1"/>
    <col min="10" max="10" width="24" customWidth="1"/>
    <col min="11" max="11" width="16" customWidth="1"/>
    <col min="12" max="12" width="20" customWidth="1"/>
    <col min="13" max="13" width="22" customWidth="1"/>
    <col min="14" max="14" width="14" customWidth="1"/>
    <col min="15" max="15" width="18" customWidth="1"/>
    <col min="16" max="16" width="22" customWidth="1"/>
    <col min="17" max="17" width="14" customWidth="1"/>
    <col min="18" max="18" width="18" customWidth="1"/>
    <col min="19" max="19" width="22" customWidth="1"/>
    <col min="20" max="20" width="14" customWidth="1"/>
    <col min="21" max="21" width="18" customWidth="1"/>
  </cols>
  <sheetData>
    <row r="1" spans="1:21" ht="28" customHeight="1" x14ac:dyDescent="0.2">
      <c r="A1" t="s">
        <v>184</v>
      </c>
      <c r="B1" t="s">
        <v>183</v>
      </c>
    </row>
    <row r="2" spans="1:21" ht="28" customHeight="1" x14ac:dyDescent="0.2">
      <c r="A2" t="s">
        <v>185</v>
      </c>
      <c r="B2">
        <v>95833</v>
      </c>
    </row>
    <row r="3" spans="1:21" ht="28" customHeight="1" x14ac:dyDescent="0.2">
      <c r="A3" t="s">
        <v>186</v>
      </c>
      <c r="B3">
        <v>8731</v>
      </c>
    </row>
    <row r="4" spans="1:21" ht="30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2" t="s">
        <v>26</v>
      </c>
      <c r="G5" s="2" t="s">
        <v>27</v>
      </c>
      <c r="H5" s="3" t="s">
        <v>28</v>
      </c>
      <c r="I5" s="2" t="s">
        <v>29</v>
      </c>
      <c r="J5" s="3" t="s">
        <v>30</v>
      </c>
      <c r="K5" s="4">
        <v>34000</v>
      </c>
      <c r="L5" s="5">
        <f t="shared" ref="L5:L24" si="0">K5/26</f>
        <v>1307.6923076923076</v>
      </c>
      <c r="M5" s="3" t="s">
        <v>31</v>
      </c>
      <c r="N5" s="2" t="s">
        <v>32</v>
      </c>
      <c r="O5" s="3" t="s">
        <v>33</v>
      </c>
      <c r="P5" s="3" t="s">
        <v>34</v>
      </c>
      <c r="Q5" s="2" t="s">
        <v>35</v>
      </c>
      <c r="R5" s="3" t="s">
        <v>33</v>
      </c>
      <c r="S5" s="3"/>
      <c r="T5" s="2"/>
      <c r="U5" s="3"/>
    </row>
    <row r="6" spans="1:21" x14ac:dyDescent="0.2">
      <c r="A6" s="6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6" t="s">
        <v>26</v>
      </c>
      <c r="G6" s="6" t="s">
        <v>41</v>
      </c>
      <c r="H6" s="7" t="s">
        <v>28</v>
      </c>
      <c r="I6" s="6" t="s">
        <v>42</v>
      </c>
      <c r="J6" s="7" t="s">
        <v>30</v>
      </c>
      <c r="K6" s="8">
        <v>44000</v>
      </c>
      <c r="L6" s="9">
        <f t="shared" si="0"/>
        <v>1692.3076923076924</v>
      </c>
      <c r="M6" s="7"/>
      <c r="N6" s="6"/>
      <c r="O6" s="7"/>
      <c r="P6" s="7"/>
      <c r="Q6" s="6"/>
      <c r="R6" s="7"/>
      <c r="S6" s="7"/>
      <c r="T6" s="6"/>
      <c r="U6" s="7"/>
    </row>
    <row r="7" spans="1:21" x14ac:dyDescent="0.2">
      <c r="A7" s="2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2" t="s">
        <v>26</v>
      </c>
      <c r="G7" s="2" t="s">
        <v>48</v>
      </c>
      <c r="H7" s="3" t="s">
        <v>28</v>
      </c>
      <c r="I7" s="2" t="s">
        <v>49</v>
      </c>
      <c r="J7" s="3" t="s">
        <v>30</v>
      </c>
      <c r="K7" s="4">
        <v>39500</v>
      </c>
      <c r="L7" s="5">
        <f t="shared" si="0"/>
        <v>1519.2307692307693</v>
      </c>
      <c r="M7" s="3"/>
      <c r="N7" s="2"/>
      <c r="O7" s="3"/>
      <c r="P7" s="3"/>
      <c r="Q7" s="2"/>
      <c r="R7" s="3"/>
      <c r="S7" s="3"/>
      <c r="T7" s="2"/>
      <c r="U7" s="3"/>
    </row>
    <row r="8" spans="1:21" x14ac:dyDescent="0.2">
      <c r="A8" s="6" t="s">
        <v>50</v>
      </c>
      <c r="B8" s="7" t="s">
        <v>51</v>
      </c>
      <c r="C8" s="7" t="s">
        <v>45</v>
      </c>
      <c r="D8" s="7" t="s">
        <v>52</v>
      </c>
      <c r="E8" s="7" t="s">
        <v>53</v>
      </c>
      <c r="F8" s="6" t="s">
        <v>26</v>
      </c>
      <c r="G8" s="6" t="s">
        <v>54</v>
      </c>
      <c r="H8" s="7" t="s">
        <v>28</v>
      </c>
      <c r="I8" s="6" t="s">
        <v>55</v>
      </c>
      <c r="J8" s="7" t="s">
        <v>56</v>
      </c>
      <c r="K8" s="8">
        <v>75000</v>
      </c>
      <c r="L8" s="9">
        <f t="shared" si="0"/>
        <v>2884.6153846153848</v>
      </c>
      <c r="M8" s="7" t="s">
        <v>57</v>
      </c>
      <c r="N8" s="6" t="s">
        <v>58</v>
      </c>
      <c r="O8" s="7" t="s">
        <v>33</v>
      </c>
      <c r="P8" s="7" t="s">
        <v>59</v>
      </c>
      <c r="Q8" s="6" t="s">
        <v>60</v>
      </c>
      <c r="R8" s="7" t="s">
        <v>33</v>
      </c>
      <c r="S8" s="7" t="s">
        <v>61</v>
      </c>
      <c r="T8" s="6" t="s">
        <v>62</v>
      </c>
      <c r="U8" s="7" t="s">
        <v>33</v>
      </c>
    </row>
    <row r="9" spans="1:21" x14ac:dyDescent="0.2">
      <c r="A9" s="2" t="s">
        <v>63</v>
      </c>
      <c r="B9" s="3" t="s">
        <v>64</v>
      </c>
      <c r="C9" s="3" t="s">
        <v>45</v>
      </c>
      <c r="D9" s="3" t="s">
        <v>65</v>
      </c>
      <c r="E9" s="3" t="s">
        <v>66</v>
      </c>
      <c r="F9" s="2" t="s">
        <v>26</v>
      </c>
      <c r="G9" s="2" t="s">
        <v>67</v>
      </c>
      <c r="H9" s="3" t="s">
        <v>28</v>
      </c>
      <c r="I9" s="2" t="s">
        <v>68</v>
      </c>
      <c r="J9" s="3" t="s">
        <v>56</v>
      </c>
      <c r="K9" s="4">
        <v>90000</v>
      </c>
      <c r="L9" s="5">
        <f t="shared" si="0"/>
        <v>3461.5384615384614</v>
      </c>
      <c r="M9" s="3"/>
      <c r="N9" s="2"/>
      <c r="O9" s="3"/>
      <c r="P9" s="3"/>
      <c r="Q9" s="2"/>
      <c r="R9" s="3"/>
      <c r="S9" s="3"/>
      <c r="T9" s="2"/>
      <c r="U9" s="3"/>
    </row>
    <row r="10" spans="1:21" x14ac:dyDescent="0.2">
      <c r="A10" s="6" t="s">
        <v>69</v>
      </c>
      <c r="B10" s="7" t="s">
        <v>70</v>
      </c>
      <c r="C10" s="7" t="s">
        <v>38</v>
      </c>
      <c r="D10" s="7" t="s">
        <v>71</v>
      </c>
      <c r="E10" s="7" t="s">
        <v>53</v>
      </c>
      <c r="F10" s="6" t="s">
        <v>26</v>
      </c>
      <c r="G10" s="6" t="s">
        <v>54</v>
      </c>
      <c r="H10" s="7" t="s">
        <v>28</v>
      </c>
      <c r="I10" s="6" t="s">
        <v>72</v>
      </c>
      <c r="J10" s="7" t="s">
        <v>56</v>
      </c>
      <c r="K10" s="8">
        <v>64000</v>
      </c>
      <c r="L10" s="9">
        <f t="shared" si="0"/>
        <v>2461.5384615384614</v>
      </c>
      <c r="M10" s="7" t="s">
        <v>73</v>
      </c>
      <c r="N10" s="6" t="s">
        <v>74</v>
      </c>
      <c r="O10" s="7" t="s">
        <v>33</v>
      </c>
      <c r="P10" s="7"/>
      <c r="Q10" s="6"/>
      <c r="R10" s="7"/>
      <c r="S10" s="7"/>
      <c r="T10" s="6"/>
      <c r="U10" s="7"/>
    </row>
    <row r="11" spans="1:21" x14ac:dyDescent="0.2">
      <c r="A11" s="2" t="s">
        <v>75</v>
      </c>
      <c r="B11" s="3" t="s">
        <v>76</v>
      </c>
      <c r="C11" s="3" t="s">
        <v>77</v>
      </c>
      <c r="D11" s="3" t="s">
        <v>78</v>
      </c>
      <c r="E11" s="3" t="s">
        <v>40</v>
      </c>
      <c r="F11" s="2" t="s">
        <v>26</v>
      </c>
      <c r="G11" s="2" t="s">
        <v>41</v>
      </c>
      <c r="H11" s="3" t="s">
        <v>28</v>
      </c>
      <c r="I11" s="2" t="s">
        <v>79</v>
      </c>
      <c r="J11" s="3" t="s">
        <v>56</v>
      </c>
      <c r="K11" s="4">
        <v>70000</v>
      </c>
      <c r="L11" s="5">
        <f t="shared" si="0"/>
        <v>2692.3076923076924</v>
      </c>
      <c r="M11" s="3" t="s">
        <v>80</v>
      </c>
      <c r="N11" s="2" t="s">
        <v>81</v>
      </c>
      <c r="O11" s="3" t="s">
        <v>82</v>
      </c>
      <c r="P11" s="3" t="s">
        <v>83</v>
      </c>
      <c r="Q11" s="2" t="s">
        <v>84</v>
      </c>
      <c r="R11" s="3" t="s">
        <v>33</v>
      </c>
      <c r="S11" s="3" t="s">
        <v>85</v>
      </c>
      <c r="T11" s="2" t="s">
        <v>86</v>
      </c>
      <c r="U11" s="3" t="s">
        <v>33</v>
      </c>
    </row>
    <row r="12" spans="1:21" x14ac:dyDescent="0.2">
      <c r="A12" s="6" t="s">
        <v>87</v>
      </c>
      <c r="B12" s="7" t="s">
        <v>88</v>
      </c>
      <c r="C12" s="7" t="s">
        <v>89</v>
      </c>
      <c r="D12" s="7" t="s">
        <v>90</v>
      </c>
      <c r="E12" s="7" t="s">
        <v>91</v>
      </c>
      <c r="F12" s="6" t="s">
        <v>26</v>
      </c>
      <c r="G12" s="6" t="s">
        <v>92</v>
      </c>
      <c r="H12" s="7" t="s">
        <v>28</v>
      </c>
      <c r="I12" s="6" t="s">
        <v>93</v>
      </c>
      <c r="J12" s="7" t="s">
        <v>56</v>
      </c>
      <c r="K12" s="8">
        <v>99000</v>
      </c>
      <c r="L12" s="9">
        <f t="shared" si="0"/>
        <v>3807.6923076923076</v>
      </c>
      <c r="M12" s="7" t="s">
        <v>94</v>
      </c>
      <c r="N12" s="6" t="s">
        <v>95</v>
      </c>
      <c r="O12" s="7" t="s">
        <v>82</v>
      </c>
      <c r="P12" s="7"/>
      <c r="Q12" s="6"/>
      <c r="R12" s="7"/>
      <c r="S12" s="7"/>
      <c r="T12" s="6"/>
      <c r="U12" s="7"/>
    </row>
    <row r="13" spans="1:21" x14ac:dyDescent="0.2">
      <c r="A13" s="2" t="s">
        <v>96</v>
      </c>
      <c r="B13" s="3" t="s">
        <v>51</v>
      </c>
      <c r="C13" s="3" t="s">
        <v>23</v>
      </c>
      <c r="D13" s="3" t="s">
        <v>97</v>
      </c>
      <c r="E13" s="3" t="s">
        <v>53</v>
      </c>
      <c r="F13" s="2" t="s">
        <v>26</v>
      </c>
      <c r="G13" s="2" t="s">
        <v>54</v>
      </c>
      <c r="H13" s="3" t="s">
        <v>28</v>
      </c>
      <c r="I13" s="2" t="s">
        <v>98</v>
      </c>
      <c r="J13" s="3" t="s">
        <v>30</v>
      </c>
      <c r="K13" s="4">
        <v>35500</v>
      </c>
      <c r="L13" s="5">
        <f t="shared" si="0"/>
        <v>1365.3846153846155</v>
      </c>
      <c r="M13" s="3"/>
      <c r="N13" s="2"/>
      <c r="O13" s="3"/>
      <c r="P13" s="3"/>
      <c r="Q13" s="2"/>
      <c r="R13" s="3"/>
      <c r="S13" s="3"/>
      <c r="T13" s="2"/>
      <c r="U13" s="3"/>
    </row>
    <row r="14" spans="1:21" x14ac:dyDescent="0.2">
      <c r="A14" s="6" t="s">
        <v>99</v>
      </c>
      <c r="B14" s="7" t="s">
        <v>100</v>
      </c>
      <c r="C14" s="7" t="s">
        <v>38</v>
      </c>
      <c r="D14" s="7" t="s">
        <v>101</v>
      </c>
      <c r="E14" s="7" t="s">
        <v>40</v>
      </c>
      <c r="F14" s="6" t="s">
        <v>26</v>
      </c>
      <c r="G14" s="6" t="s">
        <v>41</v>
      </c>
      <c r="H14" s="7" t="s">
        <v>28</v>
      </c>
      <c r="I14" s="6" t="s">
        <v>102</v>
      </c>
      <c r="J14" s="7" t="s">
        <v>103</v>
      </c>
      <c r="K14" s="8">
        <v>34000</v>
      </c>
      <c r="L14" s="9">
        <f t="shared" si="0"/>
        <v>1307.6923076923076</v>
      </c>
      <c r="M14" s="7" t="s">
        <v>104</v>
      </c>
      <c r="N14" s="6" t="s">
        <v>105</v>
      </c>
      <c r="O14" s="7" t="s">
        <v>82</v>
      </c>
      <c r="P14" s="7"/>
      <c r="Q14" s="6"/>
      <c r="R14" s="7"/>
      <c r="S14" s="7"/>
      <c r="T14" s="6"/>
      <c r="U14" s="7"/>
    </row>
    <row r="15" spans="1:21" x14ac:dyDescent="0.2">
      <c r="A15" s="2" t="s">
        <v>106</v>
      </c>
      <c r="B15" s="3" t="s">
        <v>107</v>
      </c>
      <c r="C15" s="3" t="s">
        <v>108</v>
      </c>
      <c r="D15" s="3" t="s">
        <v>109</v>
      </c>
      <c r="E15" s="3" t="s">
        <v>25</v>
      </c>
      <c r="F15" s="2" t="s">
        <v>26</v>
      </c>
      <c r="G15" s="2" t="s">
        <v>27</v>
      </c>
      <c r="H15" s="3" t="s">
        <v>28</v>
      </c>
      <c r="I15" s="2" t="s">
        <v>110</v>
      </c>
      <c r="J15" s="3" t="s">
        <v>56</v>
      </c>
      <c r="K15" s="4">
        <v>68000</v>
      </c>
      <c r="L15" s="5">
        <f t="shared" si="0"/>
        <v>2615.3846153846152</v>
      </c>
      <c r="M15" s="3"/>
      <c r="N15" s="2"/>
      <c r="O15" s="3"/>
      <c r="P15" s="3"/>
      <c r="Q15" s="2"/>
      <c r="R15" s="3"/>
      <c r="S15" s="3"/>
      <c r="T15" s="2"/>
      <c r="U15" s="3"/>
    </row>
    <row r="16" spans="1:21" x14ac:dyDescent="0.2">
      <c r="A16" s="6" t="s">
        <v>111</v>
      </c>
      <c r="B16" s="7" t="s">
        <v>51</v>
      </c>
      <c r="C16" s="7" t="s">
        <v>112</v>
      </c>
      <c r="D16" s="7" t="s">
        <v>113</v>
      </c>
      <c r="E16" s="7" t="s">
        <v>53</v>
      </c>
      <c r="F16" s="6" t="s">
        <v>26</v>
      </c>
      <c r="G16" s="6" t="s">
        <v>54</v>
      </c>
      <c r="H16" s="7" t="s">
        <v>28</v>
      </c>
      <c r="I16" s="6" t="s">
        <v>114</v>
      </c>
      <c r="J16" s="7" t="s">
        <v>56</v>
      </c>
      <c r="K16" s="8">
        <v>93000</v>
      </c>
      <c r="L16" s="9">
        <f t="shared" si="0"/>
        <v>3576.9230769230771</v>
      </c>
      <c r="M16" s="7" t="s">
        <v>57</v>
      </c>
      <c r="N16" s="6" t="s">
        <v>115</v>
      </c>
      <c r="O16" s="7" t="s">
        <v>116</v>
      </c>
      <c r="P16" s="7" t="s">
        <v>117</v>
      </c>
      <c r="Q16" s="6" t="s">
        <v>118</v>
      </c>
      <c r="R16" s="7" t="s">
        <v>33</v>
      </c>
      <c r="S16" s="7"/>
      <c r="T16" s="6"/>
      <c r="U16" s="7"/>
    </row>
    <row r="17" spans="1:21" x14ac:dyDescent="0.2">
      <c r="A17" s="2" t="s">
        <v>119</v>
      </c>
      <c r="B17" s="3" t="s">
        <v>120</v>
      </c>
      <c r="C17" s="3" t="s">
        <v>121</v>
      </c>
      <c r="D17" s="3" t="s">
        <v>122</v>
      </c>
      <c r="E17" s="3" t="s">
        <v>53</v>
      </c>
      <c r="F17" s="2" t="s">
        <v>26</v>
      </c>
      <c r="G17" s="2" t="s">
        <v>54</v>
      </c>
      <c r="H17" s="3" t="s">
        <v>28</v>
      </c>
      <c r="I17" s="2" t="s">
        <v>123</v>
      </c>
      <c r="J17" s="3" t="s">
        <v>103</v>
      </c>
      <c r="K17" s="4">
        <v>31500</v>
      </c>
      <c r="L17" s="5">
        <f t="shared" si="0"/>
        <v>1211.5384615384614</v>
      </c>
      <c r="M17" s="3" t="s">
        <v>124</v>
      </c>
      <c r="N17" s="2" t="s">
        <v>125</v>
      </c>
      <c r="O17" s="3" t="s">
        <v>33</v>
      </c>
      <c r="P17" s="3" t="s">
        <v>126</v>
      </c>
      <c r="Q17" s="2" t="s">
        <v>127</v>
      </c>
      <c r="R17" s="3" t="s">
        <v>33</v>
      </c>
      <c r="S17" s="3" t="s">
        <v>128</v>
      </c>
      <c r="T17" s="2" t="s">
        <v>129</v>
      </c>
      <c r="U17" s="3" t="s">
        <v>33</v>
      </c>
    </row>
    <row r="18" spans="1:21" x14ac:dyDescent="0.2">
      <c r="A18" s="6" t="s">
        <v>130</v>
      </c>
      <c r="B18" s="7" t="s">
        <v>131</v>
      </c>
      <c r="C18" s="7" t="s">
        <v>132</v>
      </c>
      <c r="D18" s="7" t="s">
        <v>133</v>
      </c>
      <c r="E18" s="7" t="s">
        <v>66</v>
      </c>
      <c r="F18" s="6" t="s">
        <v>26</v>
      </c>
      <c r="G18" s="6" t="s">
        <v>67</v>
      </c>
      <c r="H18" s="7" t="s">
        <v>28</v>
      </c>
      <c r="I18" s="6" t="s">
        <v>134</v>
      </c>
      <c r="J18" s="7" t="s">
        <v>56</v>
      </c>
      <c r="K18" s="8">
        <v>95000</v>
      </c>
      <c r="L18" s="9">
        <f t="shared" si="0"/>
        <v>3653.8461538461538</v>
      </c>
      <c r="M18" s="7" t="s">
        <v>135</v>
      </c>
      <c r="N18" s="6" t="s">
        <v>136</v>
      </c>
      <c r="O18" s="7" t="s">
        <v>33</v>
      </c>
      <c r="P18" s="7" t="s">
        <v>137</v>
      </c>
      <c r="Q18" s="6" t="s">
        <v>138</v>
      </c>
      <c r="R18" s="7" t="s">
        <v>33</v>
      </c>
      <c r="S18" s="7" t="s">
        <v>139</v>
      </c>
      <c r="T18" s="6" t="s">
        <v>140</v>
      </c>
      <c r="U18" s="7" t="s">
        <v>33</v>
      </c>
    </row>
    <row r="19" spans="1:21" x14ac:dyDescent="0.2">
      <c r="A19" s="2" t="s">
        <v>141</v>
      </c>
      <c r="B19" s="3" t="s">
        <v>51</v>
      </c>
      <c r="C19" s="3" t="s">
        <v>77</v>
      </c>
      <c r="D19" s="3" t="s">
        <v>142</v>
      </c>
      <c r="E19" s="3" t="s">
        <v>40</v>
      </c>
      <c r="F19" s="2" t="s">
        <v>26</v>
      </c>
      <c r="G19" s="2" t="s">
        <v>41</v>
      </c>
      <c r="H19" s="3" t="s">
        <v>28</v>
      </c>
      <c r="I19" s="2" t="s">
        <v>143</v>
      </c>
      <c r="J19" s="3" t="s">
        <v>56</v>
      </c>
      <c r="K19" s="4">
        <v>80000</v>
      </c>
      <c r="L19" s="5">
        <f t="shared" si="0"/>
        <v>3076.9230769230771</v>
      </c>
      <c r="M19" s="3"/>
      <c r="N19" s="2"/>
      <c r="O19" s="3"/>
      <c r="P19" s="3"/>
      <c r="Q19" s="2"/>
      <c r="R19" s="3"/>
      <c r="S19" s="3"/>
      <c r="T19" s="2"/>
      <c r="U19" s="3"/>
    </row>
    <row r="20" spans="1:21" x14ac:dyDescent="0.2">
      <c r="A20" s="6" t="s">
        <v>144</v>
      </c>
      <c r="B20" s="7" t="s">
        <v>145</v>
      </c>
      <c r="C20" s="7" t="s">
        <v>146</v>
      </c>
      <c r="D20" s="7" t="s">
        <v>147</v>
      </c>
      <c r="E20" s="7" t="s">
        <v>25</v>
      </c>
      <c r="F20" s="6" t="s">
        <v>26</v>
      </c>
      <c r="G20" s="6" t="s">
        <v>27</v>
      </c>
      <c r="H20" s="7" t="s">
        <v>28</v>
      </c>
      <c r="I20" s="6" t="s">
        <v>148</v>
      </c>
      <c r="J20" s="7" t="s">
        <v>103</v>
      </c>
      <c r="K20" s="8">
        <v>27500</v>
      </c>
      <c r="L20" s="9">
        <f t="shared" si="0"/>
        <v>1057.6923076923076</v>
      </c>
      <c r="M20" s="7" t="s">
        <v>149</v>
      </c>
      <c r="N20" s="6" t="s">
        <v>150</v>
      </c>
      <c r="O20" s="7" t="s">
        <v>116</v>
      </c>
      <c r="P20" s="7" t="s">
        <v>151</v>
      </c>
      <c r="Q20" s="6" t="s">
        <v>152</v>
      </c>
      <c r="R20" s="7" t="s">
        <v>33</v>
      </c>
      <c r="S20" s="7"/>
      <c r="T20" s="6"/>
      <c r="U20" s="7"/>
    </row>
    <row r="21" spans="1:21" x14ac:dyDescent="0.2">
      <c r="A21" s="2" t="s">
        <v>153</v>
      </c>
      <c r="B21" s="3" t="s">
        <v>154</v>
      </c>
      <c r="C21" s="3" t="s">
        <v>45</v>
      </c>
      <c r="D21" s="3" t="s">
        <v>155</v>
      </c>
      <c r="E21" s="3" t="s">
        <v>91</v>
      </c>
      <c r="F21" s="2" t="s">
        <v>26</v>
      </c>
      <c r="G21" s="2" t="s">
        <v>92</v>
      </c>
      <c r="H21" s="3" t="s">
        <v>28</v>
      </c>
      <c r="I21" s="2" t="s">
        <v>156</v>
      </c>
      <c r="J21" s="3" t="s">
        <v>56</v>
      </c>
      <c r="K21" s="4">
        <v>49000</v>
      </c>
      <c r="L21" s="5">
        <f t="shared" si="0"/>
        <v>1884.6153846153845</v>
      </c>
      <c r="M21" s="3" t="s">
        <v>157</v>
      </c>
      <c r="N21" s="2" t="s">
        <v>158</v>
      </c>
      <c r="O21" s="3" t="s">
        <v>82</v>
      </c>
      <c r="P21" s="3" t="s">
        <v>159</v>
      </c>
      <c r="Q21" s="2" t="s">
        <v>160</v>
      </c>
      <c r="R21" s="3" t="s">
        <v>33</v>
      </c>
      <c r="S21" s="3"/>
      <c r="T21" s="2"/>
      <c r="U21" s="3"/>
    </row>
    <row r="22" spans="1:21" x14ac:dyDescent="0.2">
      <c r="A22" s="6" t="s">
        <v>161</v>
      </c>
      <c r="B22" s="7" t="s">
        <v>100</v>
      </c>
      <c r="C22" s="7" t="s">
        <v>162</v>
      </c>
      <c r="D22" s="7" t="s">
        <v>163</v>
      </c>
      <c r="E22" s="7" t="s">
        <v>164</v>
      </c>
      <c r="F22" s="6" t="s">
        <v>26</v>
      </c>
      <c r="G22" s="6" t="s">
        <v>165</v>
      </c>
      <c r="H22" s="7" t="s">
        <v>28</v>
      </c>
      <c r="I22" s="6" t="s">
        <v>166</v>
      </c>
      <c r="J22" s="7" t="s">
        <v>30</v>
      </c>
      <c r="K22" s="8">
        <v>39000</v>
      </c>
      <c r="L22" s="9">
        <f t="shared" si="0"/>
        <v>1500</v>
      </c>
      <c r="M22" s="7"/>
      <c r="N22" s="6"/>
      <c r="O22" s="7"/>
      <c r="P22" s="7"/>
      <c r="Q22" s="6"/>
      <c r="R22" s="7"/>
      <c r="S22" s="7"/>
      <c r="T22" s="6"/>
      <c r="U22" s="7"/>
    </row>
    <row r="23" spans="1:21" x14ac:dyDescent="0.2">
      <c r="A23" s="2" t="s">
        <v>167</v>
      </c>
      <c r="B23" s="3" t="s">
        <v>44</v>
      </c>
      <c r="C23" s="3" t="s">
        <v>132</v>
      </c>
      <c r="D23" s="3" t="s">
        <v>168</v>
      </c>
      <c r="E23" s="3" t="s">
        <v>25</v>
      </c>
      <c r="F23" s="2" t="s">
        <v>26</v>
      </c>
      <c r="G23" s="2" t="s">
        <v>27</v>
      </c>
      <c r="H23" s="3" t="s">
        <v>28</v>
      </c>
      <c r="I23" s="2" t="s">
        <v>169</v>
      </c>
      <c r="J23" s="3" t="s">
        <v>56</v>
      </c>
      <c r="K23" s="4">
        <v>119000</v>
      </c>
      <c r="L23" s="5">
        <f t="shared" si="0"/>
        <v>4576.9230769230771</v>
      </c>
      <c r="M23" s="3" t="s">
        <v>170</v>
      </c>
      <c r="N23" s="2" t="s">
        <v>171</v>
      </c>
      <c r="O23" s="3" t="s">
        <v>33</v>
      </c>
      <c r="P23" s="3" t="s">
        <v>172</v>
      </c>
      <c r="Q23" s="2" t="s">
        <v>173</v>
      </c>
      <c r="R23" s="3" t="s">
        <v>33</v>
      </c>
      <c r="S23" s="3" t="s">
        <v>174</v>
      </c>
      <c r="T23" s="2" t="s">
        <v>175</v>
      </c>
      <c r="U23" s="3" t="s">
        <v>33</v>
      </c>
    </row>
    <row r="24" spans="1:21" x14ac:dyDescent="0.2">
      <c r="A24" s="6" t="s">
        <v>176</v>
      </c>
      <c r="B24" s="7" t="s">
        <v>70</v>
      </c>
      <c r="C24" s="7" t="s">
        <v>45</v>
      </c>
      <c r="D24" s="7" t="s">
        <v>177</v>
      </c>
      <c r="E24" s="7" t="s">
        <v>40</v>
      </c>
      <c r="F24" s="6" t="s">
        <v>26</v>
      </c>
      <c r="G24" s="6" t="s">
        <v>41</v>
      </c>
      <c r="H24" s="7" t="s">
        <v>28</v>
      </c>
      <c r="I24" s="6" t="s">
        <v>178</v>
      </c>
      <c r="J24" s="7" t="s">
        <v>30</v>
      </c>
      <c r="K24" s="8">
        <v>33000</v>
      </c>
      <c r="L24" s="9">
        <f t="shared" si="0"/>
        <v>1269.2307692307693</v>
      </c>
      <c r="M24" s="7" t="s">
        <v>179</v>
      </c>
      <c r="N24" s="6" t="s">
        <v>180</v>
      </c>
      <c r="O24" s="7" t="s">
        <v>33</v>
      </c>
      <c r="P24" s="7" t="s">
        <v>181</v>
      </c>
      <c r="Q24" s="6" t="s">
        <v>182</v>
      </c>
      <c r="R24" s="7" t="s">
        <v>33</v>
      </c>
      <c r="S24" s="7"/>
      <c r="T24" s="6"/>
      <c r="U24" s="7"/>
    </row>
  </sheetData>
  <autoFilter ref="A4:U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 Lynn Alvar</cp:lastModifiedBy>
  <dcterms:created xsi:type="dcterms:W3CDTF">2026-05-19T03:36:14Z</dcterms:created>
  <dcterms:modified xsi:type="dcterms:W3CDTF">2026-05-19T04:01:28Z</dcterms:modified>
</cp:coreProperties>
</file>