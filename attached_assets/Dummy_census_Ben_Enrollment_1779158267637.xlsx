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lalvar/Library/CloudStorage/OneDrive-Personal/Replit/For Brokers/Benefits Enrollment Portal/"/>
    </mc:Choice>
  </mc:AlternateContent>
  <xr:revisionPtr revIDLastSave="0" documentId="13_ncr:1_{FB84074E-08B4-4441-93E1-A92D46353D28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Employee Census" sheetId="1" r:id="rId1"/>
  </sheets>
  <definedNames>
    <definedName name="_xlnm._FilterDatabase" localSheetId="0" hidden="1">'Employee Census'!$A$5:$U$5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</calcChain>
</file>

<file path=xl/sharedStrings.xml><?xml version="1.0" encoding="utf-8"?>
<sst xmlns="http://schemas.openxmlformats.org/spreadsheetml/2006/main" count="291" uniqueCount="172">
  <si>
    <t>Employee ID</t>
  </si>
  <si>
    <t>Last Name</t>
  </si>
  <si>
    <t>First Name</t>
  </si>
  <si>
    <t>Email Address</t>
  </si>
  <si>
    <t>City</t>
  </si>
  <si>
    <t>State</t>
  </si>
  <si>
    <t>Zip Code</t>
  </si>
  <si>
    <t>County</t>
  </si>
  <si>
    <t>Date of Birth</t>
  </si>
  <si>
    <t>Benefit Eligibility Status</t>
  </si>
  <si>
    <t>Annual Salary</t>
  </si>
  <si>
    <t>Per-Period Salary (26 PP)</t>
  </si>
  <si>
    <t>Dependent 1 Name</t>
  </si>
  <si>
    <t>Dependent 1 DOB</t>
  </si>
  <si>
    <t>Dependent 1 Relationship</t>
  </si>
  <si>
    <t>Dependent 2 Name</t>
  </si>
  <si>
    <t>Dependent 2 DOB</t>
  </si>
  <si>
    <t>Dependent 2 Relationship</t>
  </si>
  <si>
    <t>Dependent 3 Name</t>
  </si>
  <si>
    <t>Dependent 3 DOB</t>
  </si>
  <si>
    <t>Dependent 3 Relationship</t>
  </si>
  <si>
    <t>EMP2824</t>
  </si>
  <si>
    <t>Martinez</t>
  </si>
  <si>
    <t>Jordan</t>
  </si>
  <si>
    <t>jordan.martinez@acmecorp.com</t>
  </si>
  <si>
    <t>Ventura</t>
  </si>
  <si>
    <t>CA</t>
  </si>
  <si>
    <t>93001</t>
  </si>
  <si>
    <t>03/24/1974</t>
  </si>
  <si>
    <t>30+ Hours (Full-Time)</t>
  </si>
  <si>
    <t>Noah Martinez</t>
  </si>
  <si>
    <t>09/20/1979</t>
  </si>
  <si>
    <t>Spouse</t>
  </si>
  <si>
    <t>Emma Martinez</t>
  </si>
  <si>
    <t>04/23/2022</t>
  </si>
  <si>
    <t>Child</t>
  </si>
  <si>
    <t>EMP9928</t>
  </si>
  <si>
    <t>Davis</t>
  </si>
  <si>
    <t>Dakota</t>
  </si>
  <si>
    <t>dakota.davis@acmecorp.com</t>
  </si>
  <si>
    <t>Newbury Park</t>
  </si>
  <si>
    <t>91320</t>
  </si>
  <si>
    <t>05/26/1997</t>
  </si>
  <si>
    <t>&lt;20 Hours (Ineligible)</t>
  </si>
  <si>
    <t>Ethan Davis</t>
  </si>
  <si>
    <t>03/07/2013</t>
  </si>
  <si>
    <t>02/13/2008</t>
  </si>
  <si>
    <t>EMP2584</t>
  </si>
  <si>
    <t>Thomas</t>
  </si>
  <si>
    <t>Reese</t>
  </si>
  <si>
    <t>reese.thomas@acmecorp.com</t>
  </si>
  <si>
    <t>Santa Barbara</t>
  </si>
  <si>
    <t>93101</t>
  </si>
  <si>
    <t>12/15/1962</t>
  </si>
  <si>
    <t>EMP5803</t>
  </si>
  <si>
    <t>Sidney</t>
  </si>
  <si>
    <t>sidney.thomas@acmecorp.com</t>
  </si>
  <si>
    <t>01/22/1964</t>
  </si>
  <si>
    <t>Liam Thomas</t>
  </si>
  <si>
    <t>05/15/2017</t>
  </si>
  <si>
    <t>Ethan Thomas</t>
  </si>
  <si>
    <t>06/12/2010</t>
  </si>
  <si>
    <t>Noah Thomas</t>
  </si>
  <si>
    <t>12/22/2013</t>
  </si>
  <si>
    <t>EMP2169</t>
  </si>
  <si>
    <t>Garcia</t>
  </si>
  <si>
    <t>sidney.garcia@acmecorp.com</t>
  </si>
  <si>
    <t>08/13/1970</t>
  </si>
  <si>
    <t>Emma Garcia</t>
  </si>
  <si>
    <t>01/26/2012</t>
  </si>
  <si>
    <t>Ethan Garcia</t>
  </si>
  <si>
    <t>05/03/2017</t>
  </si>
  <si>
    <t>EMP4456</t>
  </si>
  <si>
    <t>Anderson</t>
  </si>
  <si>
    <t>Robin</t>
  </si>
  <si>
    <t>robin.anderson@acmecorp.com</t>
  </si>
  <si>
    <t>07/21/1991</t>
  </si>
  <si>
    <t>EMP9830</t>
  </si>
  <si>
    <t>Thompson</t>
  </si>
  <si>
    <t>Quinn</t>
  </si>
  <si>
    <t>quinn.thompson@acmecorp.com</t>
  </si>
  <si>
    <t>Moorpark</t>
  </si>
  <si>
    <t>93021</t>
  </si>
  <si>
    <t>07/12/1997</t>
  </si>
  <si>
    <t>Liam Thompson</t>
  </si>
  <si>
    <t>11/06/1974</t>
  </si>
  <si>
    <t>EMP7916</t>
  </si>
  <si>
    <t>Williams</t>
  </si>
  <si>
    <t>sidney.williams@acmecorp.com</t>
  </si>
  <si>
    <t>10/15/1984</t>
  </si>
  <si>
    <t>Ethan Williams</t>
  </si>
  <si>
    <t>05/14/1972</t>
  </si>
  <si>
    <t>Domestic Partner</t>
  </si>
  <si>
    <t>Olivia Williams</t>
  </si>
  <si>
    <t>01/24/2019</t>
  </si>
  <si>
    <t>EMP5315</t>
  </si>
  <si>
    <t>Logan</t>
  </si>
  <si>
    <t>logan.garcia@acmecorp.com</t>
  </si>
  <si>
    <t>Camarillo</t>
  </si>
  <si>
    <t>93010</t>
  </si>
  <si>
    <t>11/17/1979</t>
  </si>
  <si>
    <t>20-29 Hours (Part-Time)</t>
  </si>
  <si>
    <t>William Garcia</t>
  </si>
  <si>
    <t>08/01/1985</t>
  </si>
  <si>
    <t>EMP2832</t>
  </si>
  <si>
    <t>Wilson</t>
  </si>
  <si>
    <t>reese.wilson@acmecorp.com</t>
  </si>
  <si>
    <t>04/19/1963</t>
  </si>
  <si>
    <t>Isabella Wilson</t>
  </si>
  <si>
    <t>03/22/2009</t>
  </si>
  <si>
    <t>Mason Wilson</t>
  </si>
  <si>
    <t>03/09/2022</t>
  </si>
  <si>
    <t>EMP9645</t>
  </si>
  <si>
    <t>Moore</t>
  </si>
  <si>
    <t>sidney.moore@acmecorp.com</t>
  </si>
  <si>
    <t>12/23/1994</t>
  </si>
  <si>
    <t>Ethan Moore</t>
  </si>
  <si>
    <t>09/15/2019</t>
  </si>
  <si>
    <t>EMP2982</t>
  </si>
  <si>
    <t>Avery</t>
  </si>
  <si>
    <t>avery.davis@acmecorp.com</t>
  </si>
  <si>
    <t>01/19/1981</t>
  </si>
  <si>
    <t>EMP1964</t>
  </si>
  <si>
    <t>avery.williams@acmecorp.com</t>
  </si>
  <si>
    <t>Oxnard</t>
  </si>
  <si>
    <t>93030</t>
  </si>
  <si>
    <t>02/17/1981</t>
  </si>
  <si>
    <t>EMP3167</t>
  </si>
  <si>
    <t>robin.thompson@acmecorp.com</t>
  </si>
  <si>
    <t>08/26/1975</t>
  </si>
  <si>
    <t>EMP8062</t>
  </si>
  <si>
    <t>reese.moore@acmecorp.com</t>
  </si>
  <si>
    <t>12/02/1989</t>
  </si>
  <si>
    <t>EMP7596</t>
  </si>
  <si>
    <t>Brown</t>
  </si>
  <si>
    <t>Skyler</t>
  </si>
  <si>
    <t>skyler.brown@acmecorp.com</t>
  </si>
  <si>
    <t>04/18/1972</t>
  </si>
  <si>
    <t>EMP8579</t>
  </si>
  <si>
    <t>Perez</t>
  </si>
  <si>
    <t>Finley</t>
  </si>
  <si>
    <t>finley.perez@acmecorp.com</t>
  </si>
  <si>
    <t>11/18/1963</t>
  </si>
  <si>
    <t>Olivia Perez</t>
  </si>
  <si>
    <t>08/16/2018</t>
  </si>
  <si>
    <t>Noah Perez</t>
  </si>
  <si>
    <t>01/06/2017</t>
  </si>
  <si>
    <t>Sophia Perez</t>
  </si>
  <si>
    <t>07/09/2005</t>
  </si>
  <si>
    <t>EMP8454</t>
  </si>
  <si>
    <t>Drew</t>
  </si>
  <si>
    <t>drew.moore@acmecorp.com</t>
  </si>
  <si>
    <t>04/10/1969</t>
  </si>
  <si>
    <t>01/19/2006</t>
  </si>
  <si>
    <t>Mason Moore</t>
  </si>
  <si>
    <t>09/06/2021</t>
  </si>
  <si>
    <t>EMP1931</t>
  </si>
  <si>
    <t>logan.williams@acmecorp.com</t>
  </si>
  <si>
    <t>Thousand Oaks</t>
  </si>
  <si>
    <t>91360</t>
  </si>
  <si>
    <t>10/03/1964</t>
  </si>
  <si>
    <t>William Williams</t>
  </si>
  <si>
    <t>10/20/2012</t>
  </si>
  <si>
    <t>EMP1651</t>
  </si>
  <si>
    <t>dakota.thompson@acmecorp.com</t>
  </si>
  <si>
    <t>Simi Valley</t>
  </si>
  <si>
    <t>93065</t>
  </si>
  <si>
    <t>04/22/1976</t>
  </si>
  <si>
    <t>EMPLOYER NAME</t>
  </si>
  <si>
    <t>Catch A Vibe</t>
  </si>
  <si>
    <t>Employer Situs</t>
  </si>
  <si>
    <t>SIC Codee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</si>
</sst>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5" customWidth="1"/>
    <col min="3" max="3" width="14" customWidth="1"/>
    <col min="4" max="4" width="30" customWidth="1"/>
    <col min="5" max="5" width="16" customWidth="1"/>
    <col min="6" max="6" width="7" customWidth="1"/>
    <col min="7" max="7" width="10" customWidth="1"/>
    <col min="8" max="8" width="14" customWidth="1"/>
    <col min="9" max="9" width="12" customWidth="1"/>
    <col min="10" max="10" width="24" customWidth="1"/>
    <col min="11" max="11" width="16" customWidth="1"/>
    <col min="12" max="12" width="20" customWidth="1"/>
    <col min="13" max="13" width="22" customWidth="1"/>
    <col min="14" max="14" width="14" customWidth="1"/>
    <col min="15" max="15" width="18" customWidth="1"/>
    <col min="16" max="16" width="22" customWidth="1"/>
    <col min="17" max="17" width="14" customWidth="1"/>
    <col min="18" max="18" width="18" customWidth="1"/>
    <col min="19" max="19" width="22" customWidth="1"/>
    <col min="20" max="20" width="14" customWidth="1"/>
    <col min="21" max="21" width="18" customWidth="1"/>
  </cols>
  <sheetData>
    <row r="1" spans="1:21" ht="37" customHeight="1" x14ac:dyDescent="0.2">
      <c r="A1" t="s">
        <v>168</v>
      </c>
      <c r="B1" t="s">
        <v>169</v>
      </c>
    </row>
    <row r="2" spans="1:21" ht="37" customHeight="1" x14ac:dyDescent="0.2">
      <c r="A2" t="s">
        <v>170</v>
      </c>
      <c r="B2">
        <v>95670</v>
      </c>
    </row>
    <row r="3" spans="1:21" ht="37" customHeight="1" x14ac:dyDescent="0.2">
      <c r="A3" t="s">
        <v>171</v>
      </c>
      <c r="B3">
        <v>7373</v>
      </c>
    </row>
    <row r="4" spans="1:21" ht="37" customHeight="1" x14ac:dyDescent="0.2"/>
    <row r="5" spans="1:21" ht="30" customHeight="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</row>
    <row r="6" spans="1:21" x14ac:dyDescent="0.2">
      <c r="A6" s="2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2" t="s">
        <v>26</v>
      </c>
      <c r="G6" s="2" t="s">
        <v>27</v>
      </c>
      <c r="H6" s="3" t="s">
        <v>25</v>
      </c>
      <c r="I6" s="2" t="s">
        <v>28</v>
      </c>
      <c r="J6" s="3" t="s">
        <v>29</v>
      </c>
      <c r="K6" s="4">
        <v>56000</v>
      </c>
      <c r="L6" s="5">
        <f t="shared" ref="L6:L25" si="0">K6/26</f>
        <v>2153.8461538461538</v>
      </c>
      <c r="M6" s="3" t="s">
        <v>30</v>
      </c>
      <c r="N6" s="2" t="s">
        <v>31</v>
      </c>
      <c r="O6" s="3" t="s">
        <v>32</v>
      </c>
      <c r="P6" s="3" t="s">
        <v>33</v>
      </c>
      <c r="Q6" s="2" t="s">
        <v>34</v>
      </c>
      <c r="R6" s="3" t="s">
        <v>35</v>
      </c>
      <c r="S6" s="3"/>
      <c r="T6" s="2"/>
      <c r="U6" s="3"/>
    </row>
    <row r="7" spans="1:21" x14ac:dyDescent="0.2">
      <c r="A7" s="6" t="s">
        <v>36</v>
      </c>
      <c r="B7" s="7" t="s">
        <v>37</v>
      </c>
      <c r="C7" s="7" t="s">
        <v>38</v>
      </c>
      <c r="D7" s="7" t="s">
        <v>39</v>
      </c>
      <c r="E7" s="7" t="s">
        <v>40</v>
      </c>
      <c r="F7" s="6" t="s">
        <v>26</v>
      </c>
      <c r="G7" s="6" t="s">
        <v>41</v>
      </c>
      <c r="H7" s="7" t="s">
        <v>25</v>
      </c>
      <c r="I7" s="6" t="s">
        <v>42</v>
      </c>
      <c r="J7" s="7" t="s">
        <v>43</v>
      </c>
      <c r="K7" s="8">
        <v>34000</v>
      </c>
      <c r="L7" s="9">
        <f t="shared" si="0"/>
        <v>1307.6923076923076</v>
      </c>
      <c r="M7" s="7" t="s">
        <v>44</v>
      </c>
      <c r="N7" s="6" t="s">
        <v>45</v>
      </c>
      <c r="O7" s="7" t="s">
        <v>35</v>
      </c>
      <c r="P7" s="7" t="s">
        <v>44</v>
      </c>
      <c r="Q7" s="6" t="s">
        <v>46</v>
      </c>
      <c r="R7" s="7" t="s">
        <v>35</v>
      </c>
      <c r="S7" s="7"/>
      <c r="T7" s="6"/>
      <c r="U7" s="7"/>
    </row>
    <row r="8" spans="1:21" x14ac:dyDescent="0.2">
      <c r="A8" s="2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2" t="s">
        <v>26</v>
      </c>
      <c r="G8" s="2" t="s">
        <v>52</v>
      </c>
      <c r="H8" s="3" t="s">
        <v>51</v>
      </c>
      <c r="I8" s="2" t="s">
        <v>53</v>
      </c>
      <c r="J8" s="3" t="s">
        <v>29</v>
      </c>
      <c r="K8" s="4">
        <v>93000</v>
      </c>
      <c r="L8" s="5">
        <f t="shared" si="0"/>
        <v>3576.9230769230771</v>
      </c>
      <c r="M8" s="3"/>
      <c r="N8" s="2"/>
      <c r="O8" s="3"/>
      <c r="P8" s="3"/>
      <c r="Q8" s="2"/>
      <c r="R8" s="3"/>
      <c r="S8" s="3"/>
      <c r="T8" s="2"/>
      <c r="U8" s="3"/>
    </row>
    <row r="9" spans="1:21" x14ac:dyDescent="0.2">
      <c r="A9" s="6" t="s">
        <v>54</v>
      </c>
      <c r="B9" s="7" t="s">
        <v>48</v>
      </c>
      <c r="C9" s="7" t="s">
        <v>55</v>
      </c>
      <c r="D9" s="7" t="s">
        <v>56</v>
      </c>
      <c r="E9" s="7" t="s">
        <v>25</v>
      </c>
      <c r="F9" s="6" t="s">
        <v>26</v>
      </c>
      <c r="G9" s="6" t="s">
        <v>27</v>
      </c>
      <c r="H9" s="7" t="s">
        <v>25</v>
      </c>
      <c r="I9" s="6" t="s">
        <v>57</v>
      </c>
      <c r="J9" s="7" t="s">
        <v>29</v>
      </c>
      <c r="K9" s="8">
        <v>82000</v>
      </c>
      <c r="L9" s="9">
        <f t="shared" si="0"/>
        <v>3153.8461538461538</v>
      </c>
      <c r="M9" s="7" t="s">
        <v>58</v>
      </c>
      <c r="N9" s="6" t="s">
        <v>59</v>
      </c>
      <c r="O9" s="7" t="s">
        <v>35</v>
      </c>
      <c r="P9" s="7" t="s">
        <v>60</v>
      </c>
      <c r="Q9" s="6" t="s">
        <v>61</v>
      </c>
      <c r="R9" s="7" t="s">
        <v>35</v>
      </c>
      <c r="S9" s="7" t="s">
        <v>62</v>
      </c>
      <c r="T9" s="6" t="s">
        <v>63</v>
      </c>
      <c r="U9" s="7" t="s">
        <v>35</v>
      </c>
    </row>
    <row r="10" spans="1:21" x14ac:dyDescent="0.2">
      <c r="A10" s="2" t="s">
        <v>64</v>
      </c>
      <c r="B10" s="3" t="s">
        <v>65</v>
      </c>
      <c r="C10" s="3" t="s">
        <v>55</v>
      </c>
      <c r="D10" s="3" t="s">
        <v>66</v>
      </c>
      <c r="E10" s="3" t="s">
        <v>25</v>
      </c>
      <c r="F10" s="2" t="s">
        <v>26</v>
      </c>
      <c r="G10" s="2" t="s">
        <v>27</v>
      </c>
      <c r="H10" s="3" t="s">
        <v>25</v>
      </c>
      <c r="I10" s="2" t="s">
        <v>67</v>
      </c>
      <c r="J10" s="3" t="s">
        <v>29</v>
      </c>
      <c r="K10" s="4">
        <v>73000</v>
      </c>
      <c r="L10" s="5">
        <f t="shared" si="0"/>
        <v>2807.6923076923076</v>
      </c>
      <c r="M10" s="3" t="s">
        <v>68</v>
      </c>
      <c r="N10" s="2" t="s">
        <v>69</v>
      </c>
      <c r="O10" s="3" t="s">
        <v>35</v>
      </c>
      <c r="P10" s="3" t="s">
        <v>70</v>
      </c>
      <c r="Q10" s="2" t="s">
        <v>71</v>
      </c>
      <c r="R10" s="3" t="s">
        <v>35</v>
      </c>
      <c r="S10" s="3"/>
      <c r="T10" s="2"/>
      <c r="U10" s="3"/>
    </row>
    <row r="11" spans="1:21" x14ac:dyDescent="0.2">
      <c r="A11" s="6" t="s">
        <v>72</v>
      </c>
      <c r="B11" s="7" t="s">
        <v>73</v>
      </c>
      <c r="C11" s="7" t="s">
        <v>74</v>
      </c>
      <c r="D11" s="7" t="s">
        <v>75</v>
      </c>
      <c r="E11" s="7" t="s">
        <v>25</v>
      </c>
      <c r="F11" s="6" t="s">
        <v>26</v>
      </c>
      <c r="G11" s="6" t="s">
        <v>27</v>
      </c>
      <c r="H11" s="7" t="s">
        <v>25</v>
      </c>
      <c r="I11" s="6" t="s">
        <v>76</v>
      </c>
      <c r="J11" s="7" t="s">
        <v>29</v>
      </c>
      <c r="K11" s="8">
        <v>78000</v>
      </c>
      <c r="L11" s="9">
        <f t="shared" si="0"/>
        <v>3000</v>
      </c>
      <c r="M11" s="7"/>
      <c r="N11" s="6"/>
      <c r="O11" s="7"/>
      <c r="P11" s="7"/>
      <c r="Q11" s="6"/>
      <c r="R11" s="7"/>
      <c r="S11" s="7"/>
      <c r="T11" s="6"/>
      <c r="U11" s="7"/>
    </row>
    <row r="12" spans="1:21" x14ac:dyDescent="0.2">
      <c r="A12" s="2" t="s">
        <v>77</v>
      </c>
      <c r="B12" s="3" t="s">
        <v>78</v>
      </c>
      <c r="C12" s="3" t="s">
        <v>79</v>
      </c>
      <c r="D12" s="3" t="s">
        <v>80</v>
      </c>
      <c r="E12" s="3" t="s">
        <v>81</v>
      </c>
      <c r="F12" s="2" t="s">
        <v>26</v>
      </c>
      <c r="G12" s="2" t="s">
        <v>82</v>
      </c>
      <c r="H12" s="3" t="s">
        <v>25</v>
      </c>
      <c r="I12" s="2" t="s">
        <v>83</v>
      </c>
      <c r="J12" s="3" t="s">
        <v>29</v>
      </c>
      <c r="K12" s="4">
        <v>62000</v>
      </c>
      <c r="L12" s="5">
        <f t="shared" si="0"/>
        <v>2384.6153846153848</v>
      </c>
      <c r="M12" s="3" t="s">
        <v>84</v>
      </c>
      <c r="N12" s="2" t="s">
        <v>85</v>
      </c>
      <c r="O12" s="3" t="s">
        <v>32</v>
      </c>
      <c r="P12" s="3"/>
      <c r="Q12" s="2"/>
      <c r="R12" s="3"/>
      <c r="S12" s="3"/>
      <c r="T12" s="2"/>
      <c r="U12" s="3"/>
    </row>
    <row r="13" spans="1:21" x14ac:dyDescent="0.2">
      <c r="A13" s="6" t="s">
        <v>86</v>
      </c>
      <c r="B13" s="7" t="s">
        <v>87</v>
      </c>
      <c r="C13" s="7" t="s">
        <v>55</v>
      </c>
      <c r="D13" s="7" t="s">
        <v>88</v>
      </c>
      <c r="E13" s="7" t="s">
        <v>81</v>
      </c>
      <c r="F13" s="6" t="s">
        <v>26</v>
      </c>
      <c r="G13" s="6" t="s">
        <v>82</v>
      </c>
      <c r="H13" s="7" t="s">
        <v>25</v>
      </c>
      <c r="I13" s="6" t="s">
        <v>89</v>
      </c>
      <c r="J13" s="7" t="s">
        <v>29</v>
      </c>
      <c r="K13" s="8">
        <v>46000</v>
      </c>
      <c r="L13" s="9">
        <f t="shared" si="0"/>
        <v>1769.2307692307693</v>
      </c>
      <c r="M13" s="7" t="s">
        <v>90</v>
      </c>
      <c r="N13" s="6" t="s">
        <v>91</v>
      </c>
      <c r="O13" s="7" t="s">
        <v>92</v>
      </c>
      <c r="P13" s="7" t="s">
        <v>93</v>
      </c>
      <c r="Q13" s="6" t="s">
        <v>94</v>
      </c>
      <c r="R13" s="7" t="s">
        <v>35</v>
      </c>
      <c r="S13" s="7"/>
      <c r="T13" s="6"/>
      <c r="U13" s="7"/>
    </row>
    <row r="14" spans="1:21" x14ac:dyDescent="0.2">
      <c r="A14" s="2" t="s">
        <v>95</v>
      </c>
      <c r="B14" s="3" t="s">
        <v>65</v>
      </c>
      <c r="C14" s="3" t="s">
        <v>96</v>
      </c>
      <c r="D14" s="3" t="s">
        <v>97</v>
      </c>
      <c r="E14" s="3" t="s">
        <v>98</v>
      </c>
      <c r="F14" s="2" t="s">
        <v>26</v>
      </c>
      <c r="G14" s="2" t="s">
        <v>99</v>
      </c>
      <c r="H14" s="3" t="s">
        <v>25</v>
      </c>
      <c r="I14" s="2" t="s">
        <v>100</v>
      </c>
      <c r="J14" s="3" t="s">
        <v>101</v>
      </c>
      <c r="K14" s="4">
        <v>32500</v>
      </c>
      <c r="L14" s="5">
        <f t="shared" si="0"/>
        <v>1250</v>
      </c>
      <c r="M14" s="3" t="s">
        <v>102</v>
      </c>
      <c r="N14" s="2" t="s">
        <v>103</v>
      </c>
      <c r="O14" s="3" t="s">
        <v>32</v>
      </c>
      <c r="P14" s="3"/>
      <c r="Q14" s="2"/>
      <c r="R14" s="3"/>
      <c r="S14" s="3"/>
      <c r="T14" s="2"/>
      <c r="U14" s="3"/>
    </row>
    <row r="15" spans="1:21" x14ac:dyDescent="0.2">
      <c r="A15" s="6" t="s">
        <v>104</v>
      </c>
      <c r="B15" s="7" t="s">
        <v>105</v>
      </c>
      <c r="C15" s="7" t="s">
        <v>49</v>
      </c>
      <c r="D15" s="7" t="s">
        <v>106</v>
      </c>
      <c r="E15" s="7" t="s">
        <v>25</v>
      </c>
      <c r="F15" s="6" t="s">
        <v>26</v>
      </c>
      <c r="G15" s="6" t="s">
        <v>27</v>
      </c>
      <c r="H15" s="7" t="s">
        <v>25</v>
      </c>
      <c r="I15" s="6" t="s">
        <v>107</v>
      </c>
      <c r="J15" s="7" t="s">
        <v>43</v>
      </c>
      <c r="K15" s="8">
        <v>23000</v>
      </c>
      <c r="L15" s="9">
        <f t="shared" si="0"/>
        <v>884.61538461538464</v>
      </c>
      <c r="M15" s="7" t="s">
        <v>108</v>
      </c>
      <c r="N15" s="6" t="s">
        <v>109</v>
      </c>
      <c r="O15" s="7" t="s">
        <v>35</v>
      </c>
      <c r="P15" s="7" t="s">
        <v>110</v>
      </c>
      <c r="Q15" s="6" t="s">
        <v>111</v>
      </c>
      <c r="R15" s="7" t="s">
        <v>35</v>
      </c>
      <c r="S15" s="7"/>
      <c r="T15" s="6"/>
      <c r="U15" s="7"/>
    </row>
    <row r="16" spans="1:21" x14ac:dyDescent="0.2">
      <c r="A16" s="2" t="s">
        <v>112</v>
      </c>
      <c r="B16" s="3" t="s">
        <v>113</v>
      </c>
      <c r="C16" s="3" t="s">
        <v>55</v>
      </c>
      <c r="D16" s="3" t="s">
        <v>114</v>
      </c>
      <c r="E16" s="3" t="s">
        <v>25</v>
      </c>
      <c r="F16" s="2" t="s">
        <v>26</v>
      </c>
      <c r="G16" s="2" t="s">
        <v>27</v>
      </c>
      <c r="H16" s="3" t="s">
        <v>25</v>
      </c>
      <c r="I16" s="2" t="s">
        <v>115</v>
      </c>
      <c r="J16" s="3" t="s">
        <v>29</v>
      </c>
      <c r="K16" s="4">
        <v>84000</v>
      </c>
      <c r="L16" s="5">
        <f t="shared" si="0"/>
        <v>3230.7692307692309</v>
      </c>
      <c r="M16" s="3" t="s">
        <v>116</v>
      </c>
      <c r="N16" s="2" t="s">
        <v>117</v>
      </c>
      <c r="O16" s="3" t="s">
        <v>35</v>
      </c>
      <c r="P16" s="3"/>
      <c r="Q16" s="2"/>
      <c r="R16" s="3"/>
      <c r="S16" s="3"/>
      <c r="T16" s="2"/>
      <c r="U16" s="3"/>
    </row>
    <row r="17" spans="1:21" x14ac:dyDescent="0.2">
      <c r="A17" s="6" t="s">
        <v>118</v>
      </c>
      <c r="B17" s="7" t="s">
        <v>37</v>
      </c>
      <c r="C17" s="7" t="s">
        <v>119</v>
      </c>
      <c r="D17" s="7" t="s">
        <v>120</v>
      </c>
      <c r="E17" s="7" t="s">
        <v>98</v>
      </c>
      <c r="F17" s="6" t="s">
        <v>26</v>
      </c>
      <c r="G17" s="6" t="s">
        <v>99</v>
      </c>
      <c r="H17" s="7" t="s">
        <v>25</v>
      </c>
      <c r="I17" s="6" t="s">
        <v>121</v>
      </c>
      <c r="J17" s="7" t="s">
        <v>29</v>
      </c>
      <c r="K17" s="8">
        <v>73000</v>
      </c>
      <c r="L17" s="9">
        <f t="shared" si="0"/>
        <v>2807.6923076923076</v>
      </c>
      <c r="M17" s="7"/>
      <c r="N17" s="6"/>
      <c r="O17" s="7"/>
      <c r="P17" s="7"/>
      <c r="Q17" s="6"/>
      <c r="R17" s="7"/>
      <c r="S17" s="7"/>
      <c r="T17" s="6"/>
      <c r="U17" s="7"/>
    </row>
    <row r="18" spans="1:21" x14ac:dyDescent="0.2">
      <c r="A18" s="2" t="s">
        <v>122</v>
      </c>
      <c r="B18" s="3" t="s">
        <v>87</v>
      </c>
      <c r="C18" s="3" t="s">
        <v>119</v>
      </c>
      <c r="D18" s="3" t="s">
        <v>123</v>
      </c>
      <c r="E18" s="3" t="s">
        <v>124</v>
      </c>
      <c r="F18" s="2" t="s">
        <v>26</v>
      </c>
      <c r="G18" s="2" t="s">
        <v>125</v>
      </c>
      <c r="H18" s="3" t="s">
        <v>25</v>
      </c>
      <c r="I18" s="2" t="s">
        <v>126</v>
      </c>
      <c r="J18" s="3" t="s">
        <v>29</v>
      </c>
      <c r="K18" s="4">
        <v>107000</v>
      </c>
      <c r="L18" s="5">
        <f t="shared" si="0"/>
        <v>4115.3846153846152</v>
      </c>
      <c r="M18" s="3"/>
      <c r="N18" s="2"/>
      <c r="O18" s="3"/>
      <c r="P18" s="3"/>
      <c r="Q18" s="2"/>
      <c r="R18" s="3"/>
      <c r="S18" s="3"/>
      <c r="T18" s="2"/>
      <c r="U18" s="3"/>
    </row>
    <row r="19" spans="1:21" x14ac:dyDescent="0.2">
      <c r="A19" s="6" t="s">
        <v>127</v>
      </c>
      <c r="B19" s="7" t="s">
        <v>78</v>
      </c>
      <c r="C19" s="7" t="s">
        <v>74</v>
      </c>
      <c r="D19" s="7" t="s">
        <v>128</v>
      </c>
      <c r="E19" s="7" t="s">
        <v>40</v>
      </c>
      <c r="F19" s="6" t="s">
        <v>26</v>
      </c>
      <c r="G19" s="6" t="s">
        <v>41</v>
      </c>
      <c r="H19" s="7" t="s">
        <v>25</v>
      </c>
      <c r="I19" s="6" t="s">
        <v>129</v>
      </c>
      <c r="J19" s="7" t="s">
        <v>29</v>
      </c>
      <c r="K19" s="8">
        <v>57000</v>
      </c>
      <c r="L19" s="9">
        <f t="shared" si="0"/>
        <v>2192.3076923076924</v>
      </c>
      <c r="M19" s="7"/>
      <c r="N19" s="6"/>
      <c r="O19" s="7"/>
      <c r="P19" s="7"/>
      <c r="Q19" s="6"/>
      <c r="R19" s="7"/>
      <c r="S19" s="7"/>
      <c r="T19" s="6"/>
      <c r="U19" s="7"/>
    </row>
    <row r="20" spans="1:21" x14ac:dyDescent="0.2">
      <c r="A20" s="2" t="s">
        <v>130</v>
      </c>
      <c r="B20" s="3" t="s">
        <v>113</v>
      </c>
      <c r="C20" s="3" t="s">
        <v>49</v>
      </c>
      <c r="D20" s="3" t="s">
        <v>131</v>
      </c>
      <c r="E20" s="3" t="s">
        <v>81</v>
      </c>
      <c r="F20" s="2" t="s">
        <v>26</v>
      </c>
      <c r="G20" s="2" t="s">
        <v>82</v>
      </c>
      <c r="H20" s="3" t="s">
        <v>25</v>
      </c>
      <c r="I20" s="2" t="s">
        <v>132</v>
      </c>
      <c r="J20" s="3" t="s">
        <v>101</v>
      </c>
      <c r="K20" s="4">
        <v>48500</v>
      </c>
      <c r="L20" s="5">
        <f t="shared" si="0"/>
        <v>1865.3846153846155</v>
      </c>
      <c r="M20" s="3"/>
      <c r="N20" s="2"/>
      <c r="O20" s="3"/>
      <c r="P20" s="3"/>
      <c r="Q20" s="2"/>
      <c r="R20" s="3"/>
      <c r="S20" s="3"/>
      <c r="T20" s="2"/>
      <c r="U20" s="3"/>
    </row>
    <row r="21" spans="1:21" x14ac:dyDescent="0.2">
      <c r="A21" s="6" t="s">
        <v>133</v>
      </c>
      <c r="B21" s="7" t="s">
        <v>134</v>
      </c>
      <c r="C21" s="7" t="s">
        <v>135</v>
      </c>
      <c r="D21" s="7" t="s">
        <v>136</v>
      </c>
      <c r="E21" s="7" t="s">
        <v>25</v>
      </c>
      <c r="F21" s="6" t="s">
        <v>26</v>
      </c>
      <c r="G21" s="6" t="s">
        <v>27</v>
      </c>
      <c r="H21" s="7" t="s">
        <v>25</v>
      </c>
      <c r="I21" s="6" t="s">
        <v>137</v>
      </c>
      <c r="J21" s="7" t="s">
        <v>29</v>
      </c>
      <c r="K21" s="8">
        <v>99000</v>
      </c>
      <c r="L21" s="9">
        <f t="shared" si="0"/>
        <v>3807.6923076923076</v>
      </c>
      <c r="M21" s="7"/>
      <c r="N21" s="6"/>
      <c r="O21" s="7"/>
      <c r="P21" s="7"/>
      <c r="Q21" s="6"/>
      <c r="R21" s="7"/>
      <c r="S21" s="7"/>
      <c r="T21" s="6"/>
      <c r="U21" s="7"/>
    </row>
    <row r="22" spans="1:21" x14ac:dyDescent="0.2">
      <c r="A22" s="2" t="s">
        <v>138</v>
      </c>
      <c r="B22" s="3" t="s">
        <v>139</v>
      </c>
      <c r="C22" s="3" t="s">
        <v>140</v>
      </c>
      <c r="D22" s="3" t="s">
        <v>141</v>
      </c>
      <c r="E22" s="3" t="s">
        <v>98</v>
      </c>
      <c r="F22" s="2" t="s">
        <v>26</v>
      </c>
      <c r="G22" s="2" t="s">
        <v>99</v>
      </c>
      <c r="H22" s="3" t="s">
        <v>25</v>
      </c>
      <c r="I22" s="2" t="s">
        <v>142</v>
      </c>
      <c r="J22" s="3" t="s">
        <v>101</v>
      </c>
      <c r="K22" s="4">
        <v>30500</v>
      </c>
      <c r="L22" s="5">
        <f t="shared" si="0"/>
        <v>1173.0769230769231</v>
      </c>
      <c r="M22" s="3" t="s">
        <v>143</v>
      </c>
      <c r="N22" s="2" t="s">
        <v>144</v>
      </c>
      <c r="O22" s="3" t="s">
        <v>35</v>
      </c>
      <c r="P22" s="3" t="s">
        <v>145</v>
      </c>
      <c r="Q22" s="2" t="s">
        <v>146</v>
      </c>
      <c r="R22" s="3" t="s">
        <v>35</v>
      </c>
      <c r="S22" s="3" t="s">
        <v>147</v>
      </c>
      <c r="T22" s="2" t="s">
        <v>148</v>
      </c>
      <c r="U22" s="3" t="s">
        <v>35</v>
      </c>
    </row>
    <row r="23" spans="1:21" x14ac:dyDescent="0.2">
      <c r="A23" s="6" t="s">
        <v>149</v>
      </c>
      <c r="B23" s="7" t="s">
        <v>113</v>
      </c>
      <c r="C23" s="7" t="s">
        <v>150</v>
      </c>
      <c r="D23" s="7" t="s">
        <v>151</v>
      </c>
      <c r="E23" s="7" t="s">
        <v>40</v>
      </c>
      <c r="F23" s="6" t="s">
        <v>26</v>
      </c>
      <c r="G23" s="6" t="s">
        <v>41</v>
      </c>
      <c r="H23" s="7" t="s">
        <v>25</v>
      </c>
      <c r="I23" s="6" t="s">
        <v>152</v>
      </c>
      <c r="J23" s="7" t="s">
        <v>29</v>
      </c>
      <c r="K23" s="8">
        <v>52000</v>
      </c>
      <c r="L23" s="9">
        <f t="shared" si="0"/>
        <v>2000</v>
      </c>
      <c r="M23" s="7" t="s">
        <v>116</v>
      </c>
      <c r="N23" s="6" t="s">
        <v>153</v>
      </c>
      <c r="O23" s="7" t="s">
        <v>35</v>
      </c>
      <c r="P23" s="7" t="s">
        <v>154</v>
      </c>
      <c r="Q23" s="6" t="s">
        <v>155</v>
      </c>
      <c r="R23" s="7" t="s">
        <v>35</v>
      </c>
      <c r="S23" s="7"/>
      <c r="T23" s="6"/>
      <c r="U23" s="7"/>
    </row>
    <row r="24" spans="1:21" x14ac:dyDescent="0.2">
      <c r="A24" s="2" t="s">
        <v>156</v>
      </c>
      <c r="B24" s="3" t="s">
        <v>87</v>
      </c>
      <c r="C24" s="3" t="s">
        <v>96</v>
      </c>
      <c r="D24" s="3" t="s">
        <v>157</v>
      </c>
      <c r="E24" s="3" t="s">
        <v>158</v>
      </c>
      <c r="F24" s="2" t="s">
        <v>26</v>
      </c>
      <c r="G24" s="2" t="s">
        <v>159</v>
      </c>
      <c r="H24" s="3" t="s">
        <v>25</v>
      </c>
      <c r="I24" s="2" t="s">
        <v>160</v>
      </c>
      <c r="J24" s="3" t="s">
        <v>101</v>
      </c>
      <c r="K24" s="4">
        <v>35500</v>
      </c>
      <c r="L24" s="5">
        <f t="shared" si="0"/>
        <v>1365.3846153846155</v>
      </c>
      <c r="M24" s="3" t="s">
        <v>161</v>
      </c>
      <c r="N24" s="2" t="s">
        <v>162</v>
      </c>
      <c r="O24" s="3" t="s">
        <v>35</v>
      </c>
      <c r="P24" s="3"/>
      <c r="Q24" s="2"/>
      <c r="R24" s="3"/>
      <c r="S24" s="3"/>
      <c r="T24" s="2"/>
      <c r="U24" s="3"/>
    </row>
    <row r="25" spans="1:21" x14ac:dyDescent="0.2">
      <c r="A25" s="6" t="s">
        <v>163</v>
      </c>
      <c r="B25" s="7" t="s">
        <v>78</v>
      </c>
      <c r="C25" s="7" t="s">
        <v>38</v>
      </c>
      <c r="D25" s="7" t="s">
        <v>164</v>
      </c>
      <c r="E25" s="7" t="s">
        <v>165</v>
      </c>
      <c r="F25" s="6" t="s">
        <v>26</v>
      </c>
      <c r="G25" s="6" t="s">
        <v>166</v>
      </c>
      <c r="H25" s="7" t="s">
        <v>25</v>
      </c>
      <c r="I25" s="6" t="s">
        <v>167</v>
      </c>
      <c r="J25" s="7" t="s">
        <v>101</v>
      </c>
      <c r="K25" s="8">
        <v>35500</v>
      </c>
      <c r="L25" s="9">
        <f t="shared" si="0"/>
        <v>1365.3846153846155</v>
      </c>
      <c r="M25" s="7"/>
      <c r="N25" s="6"/>
      <c r="O25" s="7"/>
      <c r="P25" s="7"/>
      <c r="Q25" s="6"/>
      <c r="R25" s="7"/>
      <c r="S25" s="7"/>
      <c r="T25" s="6"/>
      <c r="U25" s="7"/>
    </row>
  </sheetData>
  <autoFilter ref="A5:U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Cora Lynn Alvar</cp:lastModifiedBy>
  <dcterms:created xsi:type="dcterms:W3CDTF">2026-05-19T02:26:12Z</dcterms:created>
  <dcterms:modified xsi:type="dcterms:W3CDTF">2026-05-19T02:37:02Z</dcterms:modified>
</cp:coreProperties>
</file>